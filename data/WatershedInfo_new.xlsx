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16" i="1" l="1"/>
  <c r="E14" i="1"/>
  <c r="E15" i="1" s="1"/>
  <c r="E13" i="1"/>
  <c r="E12" i="1"/>
  <c r="E3" i="1"/>
  <c r="E2" i="1"/>
  <c r="E4" i="1" s="1"/>
  <c r="E5" i="1" s="1"/>
  <c r="E6" i="1" s="1"/>
  <c r="E11" i="1" s="1"/>
  <c r="E17" i="1" s="1"/>
  <c r="E18" i="1" s="1"/>
  <c r="E7" i="1"/>
  <c r="E8" i="1"/>
  <c r="E9" i="1"/>
  <c r="E10" i="1" s="1"/>
</calcChain>
</file>

<file path=xl/sharedStrings.xml><?xml version="1.0" encoding="utf-8"?>
<sst xmlns="http://schemas.openxmlformats.org/spreadsheetml/2006/main" count="17" uniqueCount="15">
  <si>
    <t>FromNode</t>
    <phoneticPr fontId="1" type="noConversion"/>
  </si>
  <si>
    <t>ToNode</t>
    <phoneticPr fontId="1" type="noConversion"/>
  </si>
  <si>
    <t>Node=0 means a source subwatershed</t>
    <phoneticPr fontId="1" type="noConversion"/>
  </si>
  <si>
    <t>7 and 8 and 10</t>
    <phoneticPr fontId="1" type="noConversion"/>
  </si>
  <si>
    <t>Edge</t>
  </si>
  <si>
    <t>WatershedID</t>
    <phoneticPr fontId="1" type="noConversion"/>
  </si>
  <si>
    <t>FromWatershedID</t>
    <phoneticPr fontId="1" type="noConversion"/>
  </si>
  <si>
    <t>ToWatershedID</t>
    <phoneticPr fontId="1" type="noConversion"/>
  </si>
  <si>
    <t>output</t>
    <phoneticPr fontId="1" type="noConversion"/>
  </si>
  <si>
    <t>Local catchment area(m2)</t>
    <phoneticPr fontId="1" type="noConversion"/>
  </si>
  <si>
    <t>Total upstream area(m2)</t>
    <phoneticPr fontId="1" type="noConversion"/>
  </si>
  <si>
    <t>Sinuosity</t>
    <phoneticPr fontId="1" type="noConversion"/>
  </si>
  <si>
    <t>Length（m）</t>
    <phoneticPr fontId="1" type="noConversion"/>
  </si>
  <si>
    <t>Elevation drop（m）</t>
    <phoneticPr fontId="1" type="noConversion"/>
  </si>
  <si>
    <t>Sinuosity是按照两段的长度加权平均计算的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</si>
</sst>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_ "/>
    <numFmt numFmtId="178" formatCode="0.0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topLeftCell="A10" workbookViewId="0">
      <selection activeCell="E38" sqref="E38"/>
    </sheetView>
  </sheetViews>
  <sheetFormatPr defaultRowHeight="13.5" x14ac:dyDescent="0.15"/>
  <cols>
    <col min="1" max="1" width="12.75" bestFit="1" customWidth="1"/>
    <col min="2" max="2" width="27.25" bestFit="1" customWidth="1"/>
    <col min="3" max="3" width="16.125" bestFit="1" customWidth="1"/>
    <col min="4" max="4" width="14.25" customWidth="1"/>
    <col min="5" max="5" width="33" customWidth="1"/>
    <col min="6" max="6" width="21.625" bestFit="1" customWidth="1"/>
    <col min="7" max="7" width="15" bestFit="1" customWidth="1"/>
  </cols>
  <sheetData>
    <row r="1" spans="1:7" x14ac:dyDescent="0.15">
      <c r="A1" t="s">
        <v>5</v>
      </c>
      <c r="B1" t="s">
        <v>9</v>
      </c>
      <c r="C1" t="s">
        <v>0</v>
      </c>
      <c r="D1" t="s">
        <v>1</v>
      </c>
      <c r="E1" t="s">
        <v>10</v>
      </c>
    </row>
    <row r="2" spans="1:7" x14ac:dyDescent="0.15">
      <c r="A2">
        <v>1</v>
      </c>
      <c r="B2" s="2">
        <v>31572168882.200001</v>
      </c>
      <c r="C2">
        <v>0</v>
      </c>
      <c r="D2">
        <v>1</v>
      </c>
      <c r="E2" s="2">
        <f>B2</f>
        <v>31572168882.200001</v>
      </c>
      <c r="G2" s="2"/>
    </row>
    <row r="3" spans="1:7" x14ac:dyDescent="0.15">
      <c r="A3">
        <v>2</v>
      </c>
      <c r="B3" s="2">
        <v>88333987307.5</v>
      </c>
      <c r="C3">
        <v>0</v>
      </c>
      <c r="D3">
        <v>1</v>
      </c>
      <c r="E3" s="2">
        <f>B3</f>
        <v>88333987307.5</v>
      </c>
    </row>
    <row r="4" spans="1:7" x14ac:dyDescent="0.15">
      <c r="A4">
        <v>3</v>
      </c>
      <c r="B4" s="2">
        <v>45150744600</v>
      </c>
      <c r="C4">
        <v>1</v>
      </c>
      <c r="D4">
        <v>2</v>
      </c>
      <c r="E4" s="2">
        <f>E2+E3+B4</f>
        <v>165056900789.70001</v>
      </c>
    </row>
    <row r="5" spans="1:7" x14ac:dyDescent="0.15">
      <c r="A5">
        <v>4</v>
      </c>
      <c r="B5" s="2">
        <v>54222704100</v>
      </c>
      <c r="C5">
        <v>2</v>
      </c>
      <c r="D5">
        <v>3</v>
      </c>
      <c r="E5" s="1">
        <f>E4+B5</f>
        <v>219279604889.70001</v>
      </c>
    </row>
    <row r="6" spans="1:7" x14ac:dyDescent="0.15">
      <c r="A6">
        <v>5</v>
      </c>
      <c r="B6" s="2">
        <v>55387443600</v>
      </c>
      <c r="C6">
        <v>3</v>
      </c>
      <c r="D6">
        <v>5</v>
      </c>
      <c r="E6" s="1">
        <f>E5+B6</f>
        <v>274667048489.70001</v>
      </c>
    </row>
    <row r="7" spans="1:7" x14ac:dyDescent="0.15">
      <c r="A7">
        <v>6</v>
      </c>
      <c r="B7" s="2">
        <v>44609016600</v>
      </c>
      <c r="C7">
        <v>0</v>
      </c>
      <c r="D7">
        <v>4</v>
      </c>
      <c r="E7" s="1">
        <f>B7</f>
        <v>44609016600</v>
      </c>
    </row>
    <row r="8" spans="1:7" x14ac:dyDescent="0.15">
      <c r="A8">
        <v>7</v>
      </c>
      <c r="B8" s="2">
        <v>84063241800</v>
      </c>
      <c r="C8">
        <v>4</v>
      </c>
      <c r="D8">
        <v>5</v>
      </c>
      <c r="E8" s="1">
        <f>E7+B8</f>
        <v>128672258400</v>
      </c>
    </row>
    <row r="9" spans="1:7" x14ac:dyDescent="0.15">
      <c r="A9">
        <v>8</v>
      </c>
      <c r="B9" s="2">
        <v>76820319000</v>
      </c>
      <c r="C9">
        <v>0</v>
      </c>
      <c r="D9">
        <v>6</v>
      </c>
      <c r="E9" s="1">
        <f>B9</f>
        <v>76820319000</v>
      </c>
    </row>
    <row r="10" spans="1:7" x14ac:dyDescent="0.15">
      <c r="A10">
        <v>9</v>
      </c>
      <c r="B10" s="2">
        <v>58450134600</v>
      </c>
      <c r="C10">
        <v>6</v>
      </c>
      <c r="D10">
        <v>7</v>
      </c>
      <c r="E10" s="1">
        <f>E9+B10</f>
        <v>135270453600</v>
      </c>
    </row>
    <row r="11" spans="1:7" x14ac:dyDescent="0.15">
      <c r="A11">
        <v>10</v>
      </c>
      <c r="B11" s="2">
        <v>86725622700</v>
      </c>
      <c r="C11">
        <v>5</v>
      </c>
      <c r="D11">
        <v>7</v>
      </c>
      <c r="E11" s="1">
        <f>E6+E8+B11</f>
        <v>490064929589.70001</v>
      </c>
    </row>
    <row r="12" spans="1:7" x14ac:dyDescent="0.15">
      <c r="A12">
        <v>11</v>
      </c>
      <c r="B12" s="2">
        <v>27792622800</v>
      </c>
      <c r="C12">
        <v>0</v>
      </c>
      <c r="D12">
        <v>8</v>
      </c>
      <c r="E12" s="1">
        <f>B12</f>
        <v>27792622800</v>
      </c>
    </row>
    <row r="13" spans="1:7" x14ac:dyDescent="0.15">
      <c r="A13">
        <v>12</v>
      </c>
      <c r="B13" s="2">
        <v>35854787700</v>
      </c>
      <c r="C13">
        <v>0</v>
      </c>
      <c r="D13">
        <v>10</v>
      </c>
      <c r="E13" s="1">
        <f>B13</f>
        <v>35854787700</v>
      </c>
    </row>
    <row r="14" spans="1:7" x14ac:dyDescent="0.15">
      <c r="A14">
        <v>13</v>
      </c>
      <c r="B14" s="2">
        <v>60383037600</v>
      </c>
      <c r="C14">
        <v>0</v>
      </c>
      <c r="D14">
        <v>9</v>
      </c>
      <c r="E14" s="1">
        <f>B14</f>
        <v>60383037600</v>
      </c>
    </row>
    <row r="15" spans="1:7" x14ac:dyDescent="0.15">
      <c r="A15">
        <v>14</v>
      </c>
      <c r="B15" s="2">
        <v>21320455500</v>
      </c>
      <c r="C15">
        <v>9</v>
      </c>
      <c r="D15">
        <v>10</v>
      </c>
      <c r="E15" s="1">
        <f>E14+B15</f>
        <v>81703493100</v>
      </c>
    </row>
    <row r="16" spans="1:7" x14ac:dyDescent="0.15">
      <c r="A16">
        <v>15</v>
      </c>
      <c r="B16" s="2">
        <v>38959347600</v>
      </c>
      <c r="C16">
        <v>0</v>
      </c>
      <c r="D16">
        <v>10</v>
      </c>
      <c r="E16" s="1">
        <f>B16</f>
        <v>38959347600</v>
      </c>
    </row>
    <row r="17" spans="1:8" x14ac:dyDescent="0.15">
      <c r="A17">
        <v>16</v>
      </c>
      <c r="B17" s="2">
        <v>47915404200</v>
      </c>
      <c r="C17" t="s">
        <v>3</v>
      </c>
      <c r="D17">
        <v>11</v>
      </c>
      <c r="E17" s="1">
        <f>E11+E10+E12+E13+E15+E16+B17</f>
        <v>857561038589.69995</v>
      </c>
    </row>
    <row r="18" spans="1:8" x14ac:dyDescent="0.15">
      <c r="A18">
        <v>17</v>
      </c>
      <c r="B18" s="2">
        <v>55546747.470200002</v>
      </c>
      <c r="C18">
        <v>11</v>
      </c>
      <c r="D18">
        <v>12</v>
      </c>
      <c r="E18" s="1">
        <f>E17+B18</f>
        <v>857616585337.17017</v>
      </c>
    </row>
    <row r="19" spans="1:8" x14ac:dyDescent="0.15">
      <c r="A19" t="s">
        <v>2</v>
      </c>
    </row>
    <row r="21" spans="1:8" x14ac:dyDescent="0.15">
      <c r="A21" t="s">
        <v>4</v>
      </c>
      <c r="B21" t="s">
        <v>6</v>
      </c>
      <c r="C21" t="s">
        <v>7</v>
      </c>
      <c r="D21" t="s">
        <v>12</v>
      </c>
      <c r="E21" t="s">
        <v>13</v>
      </c>
      <c r="F21" t="s">
        <v>11</v>
      </c>
    </row>
    <row r="22" spans="1:8" x14ac:dyDescent="0.15">
      <c r="A22">
        <v>1</v>
      </c>
      <c r="B22">
        <v>1</v>
      </c>
      <c r="C22">
        <v>3</v>
      </c>
      <c r="D22" s="1">
        <v>794621.52544799994</v>
      </c>
      <c r="E22">
        <v>1167</v>
      </c>
      <c r="F22" s="3">
        <v>1.646604</v>
      </c>
    </row>
    <row r="23" spans="1:8" x14ac:dyDescent="0.15">
      <c r="A23">
        <v>2</v>
      </c>
      <c r="B23">
        <v>2</v>
      </c>
      <c r="C23">
        <v>3</v>
      </c>
      <c r="D23" s="1">
        <v>794621.52544799994</v>
      </c>
      <c r="E23">
        <v>1167</v>
      </c>
      <c r="F23" s="3">
        <v>1.646604</v>
      </c>
    </row>
    <row r="24" spans="1:8" x14ac:dyDescent="0.15">
      <c r="A24">
        <v>3</v>
      </c>
      <c r="B24">
        <v>3</v>
      </c>
      <c r="C24">
        <v>4</v>
      </c>
      <c r="D24" s="1">
        <v>511004.16849299998</v>
      </c>
      <c r="E24">
        <v>1018</v>
      </c>
      <c r="F24" s="3">
        <v>1.3796569999999999</v>
      </c>
    </row>
    <row r="25" spans="1:8" x14ac:dyDescent="0.15">
      <c r="A25">
        <v>4</v>
      </c>
      <c r="B25">
        <v>4</v>
      </c>
      <c r="C25">
        <v>5</v>
      </c>
      <c r="D25" s="1">
        <v>804941.45443200006</v>
      </c>
      <c r="E25">
        <v>1042</v>
      </c>
      <c r="F25" s="3">
        <v>5.8369429999999998</v>
      </c>
    </row>
    <row r="26" spans="1:8" x14ac:dyDescent="0.15">
      <c r="A26">
        <v>5</v>
      </c>
      <c r="B26">
        <v>6</v>
      </c>
      <c r="C26">
        <v>7</v>
      </c>
      <c r="D26" s="1">
        <v>690984.91842300002</v>
      </c>
      <c r="E26">
        <v>1685</v>
      </c>
      <c r="F26" s="3">
        <v>1.697157</v>
      </c>
    </row>
    <row r="27" spans="1:8" x14ac:dyDescent="0.15">
      <c r="A27">
        <v>6</v>
      </c>
      <c r="B27">
        <v>5</v>
      </c>
      <c r="C27">
        <v>10</v>
      </c>
      <c r="D27" s="1">
        <v>823971.55800800002</v>
      </c>
      <c r="E27">
        <v>734</v>
      </c>
      <c r="F27" s="3">
        <v>2.2387890000000001</v>
      </c>
    </row>
    <row r="28" spans="1:8" x14ac:dyDescent="0.15">
      <c r="A28">
        <v>7</v>
      </c>
      <c r="B28">
        <v>7</v>
      </c>
      <c r="C28">
        <v>10</v>
      </c>
      <c r="D28" s="1">
        <v>823971.55800800002</v>
      </c>
      <c r="E28">
        <v>734</v>
      </c>
      <c r="F28" s="3">
        <v>2.2387890000000001</v>
      </c>
    </row>
    <row r="29" spans="1:8" x14ac:dyDescent="0.15">
      <c r="A29">
        <v>8</v>
      </c>
      <c r="B29">
        <v>8</v>
      </c>
      <c r="C29">
        <v>9</v>
      </c>
      <c r="D29" s="1">
        <v>166607.746648</v>
      </c>
      <c r="E29">
        <v>100</v>
      </c>
      <c r="F29" s="3">
        <v>1.392414</v>
      </c>
    </row>
    <row r="30" spans="1:8" x14ac:dyDescent="0.15">
      <c r="A30">
        <v>9</v>
      </c>
      <c r="B30">
        <v>10</v>
      </c>
      <c r="C30">
        <v>16</v>
      </c>
      <c r="D30" s="1">
        <v>454058.54423</v>
      </c>
      <c r="E30">
        <v>101</v>
      </c>
      <c r="F30" s="3">
        <v>2.1383870532949687</v>
      </c>
      <c r="H30" t="s">
        <v>14</v>
      </c>
    </row>
    <row r="31" spans="1:8" x14ac:dyDescent="0.15">
      <c r="A31">
        <v>10</v>
      </c>
      <c r="B31">
        <v>9</v>
      </c>
      <c r="C31">
        <v>16</v>
      </c>
      <c r="D31" s="1">
        <v>454058.54423</v>
      </c>
      <c r="E31">
        <v>101</v>
      </c>
      <c r="F31" s="3">
        <v>2.1383870532949687</v>
      </c>
    </row>
    <row r="32" spans="1:8" x14ac:dyDescent="0.15">
      <c r="A32">
        <v>11</v>
      </c>
      <c r="B32">
        <v>11</v>
      </c>
      <c r="C32">
        <v>16</v>
      </c>
      <c r="D32" s="1">
        <v>300519.19474499999</v>
      </c>
      <c r="E32">
        <v>67</v>
      </c>
      <c r="F32" s="3">
        <v>2.268176</v>
      </c>
    </row>
    <row r="33" spans="1:8" x14ac:dyDescent="0.15">
      <c r="A33">
        <v>12</v>
      </c>
      <c r="B33">
        <v>12</v>
      </c>
      <c r="C33">
        <v>16</v>
      </c>
      <c r="D33" s="1">
        <v>101734.779157</v>
      </c>
      <c r="E33">
        <v>29</v>
      </c>
      <c r="F33" s="3">
        <v>1.8491919999999999</v>
      </c>
    </row>
    <row r="34" spans="1:8" x14ac:dyDescent="0.15">
      <c r="A34">
        <v>13</v>
      </c>
      <c r="B34">
        <v>13</v>
      </c>
      <c r="C34">
        <v>14</v>
      </c>
      <c r="D34" s="1">
        <v>677166.46071200003</v>
      </c>
      <c r="E34">
        <v>265</v>
      </c>
      <c r="F34" s="3">
        <v>2.5761080000000001</v>
      </c>
    </row>
    <row r="35" spans="1:8" x14ac:dyDescent="0.15">
      <c r="A35">
        <v>14</v>
      </c>
      <c r="B35">
        <v>14</v>
      </c>
      <c r="C35">
        <v>16</v>
      </c>
      <c r="D35" s="1">
        <v>110689.551878</v>
      </c>
      <c r="E35">
        <v>37</v>
      </c>
      <c r="F35" s="3">
        <v>1.7993096123902106</v>
      </c>
      <c r="H35" t="s">
        <v>14</v>
      </c>
    </row>
    <row r="36" spans="1:8" x14ac:dyDescent="0.15">
      <c r="A36">
        <v>15</v>
      </c>
      <c r="B36">
        <v>15</v>
      </c>
      <c r="C36">
        <v>16</v>
      </c>
      <c r="D36" s="1">
        <v>110689.551878</v>
      </c>
      <c r="E36">
        <v>37</v>
      </c>
      <c r="F36" s="3">
        <v>1.7993096123902106</v>
      </c>
      <c r="H36" t="s">
        <v>14</v>
      </c>
    </row>
    <row r="37" spans="1:8" x14ac:dyDescent="0.15">
      <c r="A37">
        <v>16</v>
      </c>
      <c r="B37">
        <v>16</v>
      </c>
      <c r="C37" t="s">
        <v>8</v>
      </c>
      <c r="D37" s="1">
        <v>7261.9949079999997</v>
      </c>
      <c r="E37">
        <v>2</v>
      </c>
      <c r="F37" s="3">
        <v>1.3988670000000001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2026-05-19T07:45:17Z</dcterms:modified>
</cp:coreProperties>
</file>